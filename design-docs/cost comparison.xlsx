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i_project\design-docs\"/>
    </mc:Choice>
  </mc:AlternateContent>
  <xr:revisionPtr revIDLastSave="0" documentId="8_{53BBB6AB-6741-4647-B443-4918A1F9D33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loud costs" sheetId="1" r:id="rId1"/>
    <sheet name="comparison" sheetId="3" r:id="rId2"/>
    <sheet name="orch costs" sheetId="2" r:id="rId3"/>
    <sheet name="Sheet1" sheetId="4" r:id="rId4"/>
    <sheet name="Sheet2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6" i="5"/>
  <c r="I5" i="5"/>
  <c r="I3" i="5"/>
  <c r="I4" i="5"/>
  <c r="B18" i="4"/>
  <c r="I5" i="1"/>
  <c r="I4" i="1"/>
  <c r="I3" i="1"/>
  <c r="I6" i="1"/>
  <c r="K6" i="1"/>
  <c r="L6" i="1" s="1"/>
  <c r="K5" i="1"/>
  <c r="L5" i="1" s="1"/>
  <c r="K4" i="1"/>
  <c r="L4" i="1" s="1"/>
  <c r="K3" i="1"/>
  <c r="L3" i="1" s="1"/>
  <c r="C5" i="1"/>
  <c r="D5" i="1" s="1"/>
  <c r="E5" i="1" s="1"/>
  <c r="G5" i="1" s="1"/>
  <c r="H5" i="1" s="1"/>
  <c r="C4" i="1"/>
  <c r="C3" i="1"/>
  <c r="D6" i="1"/>
  <c r="E6" i="1" s="1"/>
  <c r="G6" i="1" s="1"/>
  <c r="H6" i="1" s="1"/>
  <c r="D4" i="1"/>
  <c r="E4" i="1" s="1"/>
  <c r="G4" i="1" s="1"/>
  <c r="H4" i="1" s="1"/>
  <c r="D3" i="1"/>
  <c r="E3" i="1" s="1"/>
  <c r="G3" i="1" l="1"/>
  <c r="H3" i="1" s="1"/>
</calcChain>
</file>

<file path=xl/sharedStrings.xml><?xml version="1.0" encoding="utf-8"?>
<sst xmlns="http://schemas.openxmlformats.org/spreadsheetml/2006/main" count="113" uniqueCount="108">
  <si>
    <t>sessions per month</t>
  </si>
  <si>
    <t>pages per mnth</t>
  </si>
  <si>
    <t>Scientist (Medical, Research, Academia) - Uses AI for literature review, grant writing, data analysis, and summarization.</t>
  </si>
  <si>
    <t>Lawyer (Contracts, Case Law, Briefs) - Heavy document work (case research, legal briefs, contract analysis), AI could assist with drafting and summarization.</t>
  </si>
  <si>
    <t>Corporate Analyst (Finance, Strategy, Consulting) - AI supports decision-making, competitor analysis, and trend prediction.</t>
  </si>
  <si>
    <t>Software Engineer - Uses AI for debugging, documentation, and architecture</t>
  </si>
  <si>
    <t>*a medium session is 10 pages background plus 5 back and forths (each being 2 pages) for a grand total of 20 pages.</t>
  </si>
  <si>
    <t>cost per company</t>
  </si>
  <si>
    <t>annual</t>
  </si>
  <si>
    <t># medium sessions per week</t>
  </si>
  <si>
    <t>$ per mo
1 page = $0.02</t>
  </si>
  <si>
    <t xml:space="preserve"> # of staff in org</t>
  </si>
  <si>
    <t>openai $</t>
  </si>
  <si>
    <t>appx once a day</t>
  </si>
  <si>
    <t>appx twice a day</t>
  </si>
  <si>
    <t>appx 3-7, 5 /week</t>
  </si>
  <si>
    <t>$ per mo
1 page = $0.045</t>
  </si>
  <si>
    <t>Maintenance Level</t>
  </si>
  <si>
    <t>Hours per Month</t>
  </si>
  <si>
    <t>Annual Cost (@ $200/hr)</t>
  </si>
  <si>
    <t>Light Maintenance (Stable, No Major Updates)</t>
  </si>
  <si>
    <t>10-20 hours</t>
  </si>
  <si>
    <t>$24,000 - $48,000/year</t>
  </si>
  <si>
    <t>Active Maintenance (Frequent Updates, Scaling, New Features)</t>
  </si>
  <si>
    <t>40-75 hours</t>
  </si>
  <si>
    <t>$96,000 - $180,000/year</t>
  </si>
  <si>
    <t>Maintenance Task</t>
  </si>
  <si>
    <t>Light Maintenance (Stable System)</t>
  </si>
  <si>
    <t>Active Maintenance (Frequent Changes)</t>
  </si>
  <si>
    <t>Weaviate Vector DB Maintenance</t>
  </si>
  <si>
    <t>3-5 hrs/month</t>
  </si>
  <si>
    <t>8-12 hrs/month</t>
  </si>
  <si>
    <t>Node.js Backend Updates &amp; Bug Fixes</t>
  </si>
  <si>
    <t>4-6 hrs/month</t>
  </si>
  <si>
    <t>10-15 hrs/month</t>
  </si>
  <si>
    <t>MySQL Database Optimization</t>
  </si>
  <si>
    <t>2-4 hrs/month</t>
  </si>
  <si>
    <t>6-10 hrs/month</t>
  </si>
  <si>
    <t>Security Patches &amp; Infra Monitoring</t>
  </si>
  <si>
    <t>2-3 hrs/month</t>
  </si>
  <si>
    <t>5-8 hrs/month</t>
  </si>
  <si>
    <t>Scaling &amp; Performance Tuning</t>
  </si>
  <si>
    <t>1-3 hrs/month</t>
  </si>
  <si>
    <t>5-10 hrs/month</t>
  </si>
  <si>
    <t>New Feature Additions &amp; API Updates</t>
  </si>
  <si>
    <t>0-5 hrs/month</t>
  </si>
  <si>
    <t>10-20 hrs/month</t>
  </si>
  <si>
    <t>Cost Factor</t>
  </si>
  <si>
    <t>Local AI (Self-Hosted LLaMA, Mistral, etc.)</t>
  </si>
  <si>
    <t>Cloud API (OpenAI/Azure)</t>
  </si>
  <si>
    <t>One-Time Hardware</t>
  </si>
  <si>
    <t>~$10,000</t>
  </si>
  <si>
    <t>Electricity (Annual)</t>
  </si>
  <si>
    <t>~$2,000 - $5,000</t>
  </si>
  <si>
    <t>AI Model Cost</t>
  </si>
  <si>
    <t>Ongoing API Fees</t>
  </si>
  <si>
    <t>Orchestrator Maintenance (Annual)</t>
  </si>
  <si>
    <t>$5,000 - $10,000</t>
  </si>
  <si>
    <t>Compute Scaling</t>
  </si>
  <si>
    <t>Fixed Hardware</t>
  </si>
  <si>
    <t>Scales Instantly, but Expensive</t>
  </si>
  <si>
    <t>Per-Use Cost</t>
  </si>
  <si>
    <r>
      <t>$0</t>
    </r>
    <r>
      <rPr>
        <sz val="11"/>
        <color theme="1"/>
        <rFont val="Calibri"/>
        <family val="2"/>
        <scheme val="minor"/>
      </rPr>
      <t xml:space="preserve"> (after setup)</t>
    </r>
  </si>
  <si>
    <t>$0.02 - $0.045 per page</t>
  </si>
  <si>
    <t>azure $ (higher)</t>
  </si>
  <si>
    <t>flooring downstairs</t>
  </si>
  <si>
    <t>flooring upstairs</t>
  </si>
  <si>
    <t>bathrooms * 3</t>
  </si>
  <si>
    <t>kitchen appliances</t>
  </si>
  <si>
    <t>kitchen cabinets</t>
  </si>
  <si>
    <t>kitchen counters</t>
  </si>
  <si>
    <t>ceiling repair</t>
  </si>
  <si>
    <t>rockwork over bricks outdoors</t>
  </si>
  <si>
    <t>garagedoors *2</t>
  </si>
  <si>
    <t>painting indoors</t>
  </si>
  <si>
    <t>painting outdoors</t>
  </si>
  <si>
    <t>major wall removal</t>
  </si>
  <si>
    <t>roof</t>
  </si>
  <si>
    <t>inside brick covered k2</t>
  </si>
  <si>
    <t>sophits</t>
  </si>
  <si>
    <t>outdoor trim (cedar)</t>
  </si>
  <si>
    <t>closet doors</t>
  </si>
  <si>
    <t>street</t>
  </si>
  <si>
    <t>amenities</t>
  </si>
  <si>
    <t>list</t>
  </si>
  <si>
    <t>asses land</t>
  </si>
  <si>
    <t>assess tot</t>
  </si>
  <si>
    <t>offer max</t>
  </si>
  <si>
    <t>reno cost</t>
  </si>
  <si>
    <t>grand total</t>
  </si>
  <si>
    <t>vaulting/ oceanview/oceanfront</t>
  </si>
  <si>
    <t>oceanviews</t>
  </si>
  <si>
    <t>reno needs</t>
  </si>
  <si>
    <t>na</t>
  </si>
  <si>
    <t>flooring</t>
  </si>
  <si>
    <t xml:space="preserve">vaulting/ trails </t>
  </si>
  <si>
    <t>vaulting/starbucks/ trails</t>
  </si>
  <si>
    <t>near ocean/park/trails</t>
  </si>
  <si>
    <t>rank s</t>
  </si>
  <si>
    <t>rank b</t>
  </si>
  <si>
    <t>4461 sunnywood</t>
  </si>
  <si>
    <t>4813 searidge</t>
  </si>
  <si>
    <t>983 carolwood</t>
  </si>
  <si>
    <t>3990 smugglers</t>
  </si>
  <si>
    <t>2801 arbutus</t>
  </si>
  <si>
    <t>flooring and a few windows</t>
  </si>
  <si>
    <t>flooring and k2</t>
  </si>
  <si>
    <t>tiny bit of flooring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</si>
</sst>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16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6" fontId="1" fillId="0" borderId="1" xfId="0" applyNumberFormat="1" applyFont="1" applyBorder="1" applyAlignment="1">
      <alignment vertical="center" wrapText="1"/>
    </xf>
    <xf numFmtId="0" fontId="0" fillId="0" borderId="1" xfId="0" applyBorder="1"/>
    <xf numFmtId="0" fontId="2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/>
  </sheetViews>
  <sheetFormatPr defaultRowHeight="14.5" x14ac:dyDescent="0.35"/>
  <cols>
    <col min="1" max="1" width="48.08984375" style="1" customWidth="1"/>
    <col min="2" max="2" width="8.1796875" style="1" customWidth="1"/>
    <col min="3" max="3" width="8.36328125" style="1" customWidth="1"/>
    <col min="4" max="4" width="7.54296875" style="1" customWidth="1"/>
    <col min="5" max="5" width="10.7265625" style="1" customWidth="1"/>
    <col min="6" max="6" width="6.1796875" style="1" customWidth="1"/>
    <col min="7" max="7" width="12.6328125" style="1" customWidth="1"/>
    <col min="8" max="8" width="9.81640625" style="1" bestFit="1" customWidth="1"/>
    <col min="9" max="9" width="8.7265625" style="1"/>
    <col min="10" max="10" width="7" style="1" customWidth="1"/>
    <col min="11" max="11" width="10" style="1" customWidth="1"/>
    <col min="12" max="12" width="10.81640625" style="1" customWidth="1"/>
    <col min="13" max="16384" width="8.7265625" style="1"/>
  </cols>
  <sheetData>
    <row r="1" spans="1:12" ht="29" x14ac:dyDescent="0.35">
      <c r="E1" s="8" t="s">
        <v>12</v>
      </c>
      <c r="F1" s="8"/>
      <c r="G1" s="8"/>
      <c r="H1" s="8"/>
      <c r="I1" s="9" t="s">
        <v>64</v>
      </c>
      <c r="J1" s="9"/>
      <c r="K1" s="9"/>
      <c r="L1" s="9"/>
    </row>
    <row r="2" spans="1:12" ht="72.5" x14ac:dyDescent="0.35">
      <c r="A2" s="7" t="s">
        <v>6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11</v>
      </c>
      <c r="G2" s="2" t="s">
        <v>7</v>
      </c>
      <c r="H2" s="2" t="s">
        <v>8</v>
      </c>
      <c r="I2" s="2" t="s">
        <v>16</v>
      </c>
      <c r="J2" s="2" t="s">
        <v>11</v>
      </c>
      <c r="K2" s="2" t="s">
        <v>7</v>
      </c>
      <c r="L2" s="2" t="s">
        <v>8</v>
      </c>
    </row>
    <row r="3" spans="1:12" ht="43.5" x14ac:dyDescent="0.35">
      <c r="A3" s="2" t="s">
        <v>2</v>
      </c>
      <c r="B3" s="3" t="s">
        <v>13</v>
      </c>
      <c r="C3" s="4">
        <f>1*30</f>
        <v>30</v>
      </c>
      <c r="D3" s="4">
        <f>C3*20</f>
        <v>600</v>
      </c>
      <c r="E3" s="6">
        <f>D3*0.02</f>
        <v>12</v>
      </c>
      <c r="F3" s="5">
        <v>50</v>
      </c>
      <c r="G3" s="6">
        <f xml:space="preserve"> E3*F3</f>
        <v>600</v>
      </c>
      <c r="H3" s="6">
        <f>G3*12</f>
        <v>7200</v>
      </c>
      <c r="I3" s="6">
        <f>D3*0.045</f>
        <v>27</v>
      </c>
      <c r="J3" s="5">
        <v>50</v>
      </c>
      <c r="K3" s="6">
        <f xml:space="preserve"> I3*J3</f>
        <v>1350</v>
      </c>
      <c r="L3" s="6">
        <f>K3*12</f>
        <v>16200</v>
      </c>
    </row>
    <row r="4" spans="1:12" ht="43.5" x14ac:dyDescent="0.35">
      <c r="A4" s="2" t="s">
        <v>3</v>
      </c>
      <c r="B4" s="5" t="s">
        <v>14</v>
      </c>
      <c r="C4" s="4">
        <f>2*30</f>
        <v>60</v>
      </c>
      <c r="D4" s="4">
        <f>C4*20</f>
        <v>1200</v>
      </c>
      <c r="E4" s="6">
        <f>D4*0.02</f>
        <v>24</v>
      </c>
      <c r="F4" s="5">
        <v>50</v>
      </c>
      <c r="G4" s="6">
        <f xml:space="preserve"> E4*F4</f>
        <v>1200</v>
      </c>
      <c r="H4" s="6">
        <f>G4*12</f>
        <v>14400</v>
      </c>
      <c r="I4" s="6">
        <f>D4*0.045</f>
        <v>54</v>
      </c>
      <c r="J4" s="5">
        <v>50</v>
      </c>
      <c r="K4" s="6">
        <f xml:space="preserve"> I4*J4</f>
        <v>2700</v>
      </c>
      <c r="L4" s="6">
        <f>K4*12</f>
        <v>32400</v>
      </c>
    </row>
    <row r="5" spans="1:12" ht="43.5" x14ac:dyDescent="0.35">
      <c r="A5" s="2" t="s">
        <v>4</v>
      </c>
      <c r="B5" s="3" t="s">
        <v>13</v>
      </c>
      <c r="C5" s="4">
        <f>1*30</f>
        <v>30</v>
      </c>
      <c r="D5" s="4">
        <f>C5*20</f>
        <v>600</v>
      </c>
      <c r="E5" s="6">
        <f>D5*0.02</f>
        <v>12</v>
      </c>
      <c r="F5" s="5">
        <v>50</v>
      </c>
      <c r="G5" s="6">
        <f xml:space="preserve"> E5*F5</f>
        <v>600</v>
      </c>
      <c r="H5" s="6">
        <f>G5*12</f>
        <v>7200</v>
      </c>
      <c r="I5" s="6">
        <f>D5*0.045</f>
        <v>27</v>
      </c>
      <c r="J5" s="5">
        <v>50</v>
      </c>
      <c r="K5" s="6">
        <f xml:space="preserve"> I5*J5</f>
        <v>1350</v>
      </c>
      <c r="L5" s="6">
        <f>K5*12</f>
        <v>16200</v>
      </c>
    </row>
    <row r="6" spans="1:12" ht="43.5" x14ac:dyDescent="0.35">
      <c r="A6" s="2" t="s">
        <v>5</v>
      </c>
      <c r="B6" s="3" t="s">
        <v>15</v>
      </c>
      <c r="C6" s="4">
        <v>20</v>
      </c>
      <c r="D6" s="4">
        <f>C6*20</f>
        <v>400</v>
      </c>
      <c r="E6" s="6">
        <f>D6*0.02</f>
        <v>8</v>
      </c>
      <c r="F6" s="5">
        <v>50</v>
      </c>
      <c r="G6" s="6">
        <f xml:space="preserve"> E6*F6</f>
        <v>400</v>
      </c>
      <c r="H6" s="6">
        <f>G6*12</f>
        <v>4800</v>
      </c>
      <c r="I6" s="6">
        <f>D6*0.045</f>
        <v>18</v>
      </c>
      <c r="J6" s="5">
        <v>50</v>
      </c>
      <c r="K6" s="6">
        <f xml:space="preserve"> I6*J6</f>
        <v>900</v>
      </c>
      <c r="L6" s="6">
        <f>K6*12</f>
        <v>10800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3D98-13A7-4BAC-BA36-F4E5B4704C63}">
  <dimension ref="A1:C7"/>
  <sheetViews>
    <sheetView workbookViewId="0">
      <selection activeCell="B3" sqref="B3"/>
    </sheetView>
  </sheetViews>
  <sheetFormatPr defaultRowHeight="14.5" x14ac:dyDescent="0.35"/>
  <cols>
    <col min="1" max="1" width="29.453125" customWidth="1"/>
    <col min="2" max="2" width="29" customWidth="1"/>
    <col min="3" max="3" width="33.54296875" customWidth="1"/>
  </cols>
  <sheetData>
    <row r="1" spans="1:3" ht="29" x14ac:dyDescent="0.35">
      <c r="A1" s="10" t="s">
        <v>47</v>
      </c>
      <c r="B1" s="12" t="s">
        <v>48</v>
      </c>
      <c r="C1" s="12" t="s">
        <v>49</v>
      </c>
    </row>
    <row r="2" spans="1:3" x14ac:dyDescent="0.35">
      <c r="A2" s="11" t="s">
        <v>50</v>
      </c>
      <c r="B2" s="11" t="s">
        <v>51</v>
      </c>
      <c r="C2" s="13">
        <v>0</v>
      </c>
    </row>
    <row r="3" spans="1:3" x14ac:dyDescent="0.35">
      <c r="A3" s="11" t="s">
        <v>52</v>
      </c>
      <c r="B3" s="11" t="s">
        <v>53</v>
      </c>
      <c r="C3" s="13">
        <v>0</v>
      </c>
    </row>
    <row r="4" spans="1:3" x14ac:dyDescent="0.35">
      <c r="A4" s="11" t="s">
        <v>54</v>
      </c>
      <c r="B4" s="13">
        <v>0</v>
      </c>
      <c r="C4" s="11" t="s">
        <v>55</v>
      </c>
    </row>
    <row r="5" spans="1:3" ht="29" x14ac:dyDescent="0.35">
      <c r="A5" s="11" t="s">
        <v>56</v>
      </c>
      <c r="B5" s="11" t="s">
        <v>57</v>
      </c>
      <c r="C5" s="11" t="s">
        <v>57</v>
      </c>
    </row>
    <row r="6" spans="1:3" x14ac:dyDescent="0.35">
      <c r="A6" s="11" t="s">
        <v>58</v>
      </c>
      <c r="B6" s="11" t="s">
        <v>59</v>
      </c>
      <c r="C6" s="11" t="s">
        <v>60</v>
      </c>
    </row>
    <row r="7" spans="1:3" x14ac:dyDescent="0.35">
      <c r="A7" s="11" t="s">
        <v>61</v>
      </c>
      <c r="B7" s="11" t="s">
        <v>62</v>
      </c>
      <c r="C7" s="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828C-1110-4D8A-A195-3AA9779FD1B1}">
  <dimension ref="A1:H7"/>
  <sheetViews>
    <sheetView workbookViewId="0">
      <selection activeCell="B5" sqref="B5"/>
    </sheetView>
  </sheetViews>
  <sheetFormatPr defaultRowHeight="14.5" x14ac:dyDescent="0.35"/>
  <cols>
    <col min="1" max="1" width="29.7265625" customWidth="1"/>
    <col min="2" max="2" width="11.26953125" customWidth="1"/>
    <col min="3" max="3" width="14.7265625" customWidth="1"/>
    <col min="6" max="6" width="15.90625" customWidth="1"/>
    <col min="7" max="7" width="17.90625" customWidth="1"/>
    <col min="8" max="8" width="21.08984375" customWidth="1"/>
  </cols>
  <sheetData>
    <row r="1" spans="1:8" ht="29" x14ac:dyDescent="0.35">
      <c r="A1" s="12" t="s">
        <v>17</v>
      </c>
      <c r="B1" s="12" t="s">
        <v>18</v>
      </c>
      <c r="C1" s="12" t="s">
        <v>19</v>
      </c>
      <c r="F1" s="12" t="s">
        <v>26</v>
      </c>
      <c r="G1" s="12" t="s">
        <v>27</v>
      </c>
      <c r="H1" s="12" t="s">
        <v>28</v>
      </c>
    </row>
    <row r="2" spans="1:8" ht="29" x14ac:dyDescent="0.35">
      <c r="A2" s="11" t="s">
        <v>20</v>
      </c>
      <c r="B2" s="11" t="s">
        <v>21</v>
      </c>
      <c r="C2" s="11" t="s">
        <v>22</v>
      </c>
      <c r="F2" s="11" t="s">
        <v>29</v>
      </c>
      <c r="G2" s="11" t="s">
        <v>30</v>
      </c>
      <c r="H2" s="11" t="s">
        <v>31</v>
      </c>
    </row>
    <row r="3" spans="1:8" ht="43.5" x14ac:dyDescent="0.35">
      <c r="A3" s="11" t="s">
        <v>23</v>
      </c>
      <c r="B3" s="11" t="s">
        <v>24</v>
      </c>
      <c r="C3" s="11" t="s">
        <v>25</v>
      </c>
      <c r="F3" s="11" t="s">
        <v>32</v>
      </c>
      <c r="G3" s="11" t="s">
        <v>33</v>
      </c>
      <c r="H3" s="11" t="s">
        <v>34</v>
      </c>
    </row>
    <row r="4" spans="1:8" ht="29" x14ac:dyDescent="0.35">
      <c r="F4" s="11" t="s">
        <v>35</v>
      </c>
      <c r="G4" s="11" t="s">
        <v>36</v>
      </c>
      <c r="H4" s="11" t="s">
        <v>37</v>
      </c>
    </row>
    <row r="5" spans="1:8" ht="43.5" x14ac:dyDescent="0.35">
      <c r="F5" s="11" t="s">
        <v>38</v>
      </c>
      <c r="G5" s="11" t="s">
        <v>39</v>
      </c>
      <c r="H5" s="11" t="s">
        <v>40</v>
      </c>
    </row>
    <row r="6" spans="1:8" ht="43.5" x14ac:dyDescent="0.35">
      <c r="F6" s="11" t="s">
        <v>41</v>
      </c>
      <c r="G6" s="11" t="s">
        <v>42</v>
      </c>
      <c r="H6" s="11" t="s">
        <v>43</v>
      </c>
    </row>
    <row r="7" spans="1:8" ht="43.5" x14ac:dyDescent="0.35">
      <c r="F7" s="11" t="s">
        <v>44</v>
      </c>
      <c r="G7" s="11" t="s">
        <v>45</v>
      </c>
      <c r="H7" s="1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2E8F-637E-4EB8-8108-38AF14891582}">
  <dimension ref="A1:B18"/>
  <sheetViews>
    <sheetView workbookViewId="0">
      <selection activeCell="A15" sqref="A15"/>
    </sheetView>
  </sheetViews>
  <sheetFormatPr defaultRowHeight="14.5" x14ac:dyDescent="0.35"/>
  <cols>
    <col min="1" max="1" width="33.6328125" customWidth="1"/>
  </cols>
  <sheetData>
    <row r="1" spans="1:2" x14ac:dyDescent="0.35">
      <c r="A1" s="14" t="s">
        <v>65</v>
      </c>
      <c r="B1" s="14">
        <v>10</v>
      </c>
    </row>
    <row r="2" spans="1:2" x14ac:dyDescent="0.35">
      <c r="A2" s="14" t="s">
        <v>66</v>
      </c>
      <c r="B2" s="14">
        <v>10</v>
      </c>
    </row>
    <row r="3" spans="1:2" x14ac:dyDescent="0.35">
      <c r="A3" s="14" t="s">
        <v>67</v>
      </c>
      <c r="B3" s="14">
        <v>45</v>
      </c>
    </row>
    <row r="4" spans="1:2" x14ac:dyDescent="0.35">
      <c r="A4" s="14" t="s">
        <v>68</v>
      </c>
      <c r="B4" s="14">
        <v>10</v>
      </c>
    </row>
    <row r="5" spans="1:2" x14ac:dyDescent="0.35">
      <c r="A5" s="14" t="s">
        <v>69</v>
      </c>
      <c r="B5" s="14">
        <v>20</v>
      </c>
    </row>
    <row r="6" spans="1:2" x14ac:dyDescent="0.35">
      <c r="A6" s="14" t="s">
        <v>70</v>
      </c>
      <c r="B6" s="14">
        <v>20</v>
      </c>
    </row>
    <row r="7" spans="1:2" x14ac:dyDescent="0.35">
      <c r="A7" s="14" t="s">
        <v>71</v>
      </c>
      <c r="B7" s="14">
        <v>10</v>
      </c>
    </row>
    <row r="8" spans="1:2" x14ac:dyDescent="0.35">
      <c r="A8" s="14" t="s">
        <v>78</v>
      </c>
      <c r="B8" s="14">
        <v>10</v>
      </c>
    </row>
    <row r="9" spans="1:2" x14ac:dyDescent="0.35">
      <c r="A9" s="14" t="s">
        <v>72</v>
      </c>
      <c r="B9" s="14">
        <v>40</v>
      </c>
    </row>
    <row r="10" spans="1:2" x14ac:dyDescent="0.35">
      <c r="A10" s="14" t="s">
        <v>73</v>
      </c>
      <c r="B10" s="14">
        <v>20</v>
      </c>
    </row>
    <row r="11" spans="1:2" x14ac:dyDescent="0.35">
      <c r="A11" s="14" t="s">
        <v>80</v>
      </c>
      <c r="B11" s="14">
        <v>10</v>
      </c>
    </row>
    <row r="12" spans="1:2" x14ac:dyDescent="0.35">
      <c r="A12" s="14" t="s">
        <v>74</v>
      </c>
      <c r="B12" s="14">
        <v>2</v>
      </c>
    </row>
    <row r="13" spans="1:2" x14ac:dyDescent="0.35">
      <c r="A13" s="14" t="s">
        <v>75</v>
      </c>
      <c r="B13" s="14">
        <v>2</v>
      </c>
    </row>
    <row r="14" spans="1:2" x14ac:dyDescent="0.35">
      <c r="A14" s="14" t="s">
        <v>76</v>
      </c>
      <c r="B14" s="14">
        <v>50</v>
      </c>
    </row>
    <row r="15" spans="1:2" x14ac:dyDescent="0.35">
      <c r="A15" s="14" t="s">
        <v>77</v>
      </c>
      <c r="B15" s="14">
        <v>30</v>
      </c>
    </row>
    <row r="16" spans="1:2" x14ac:dyDescent="0.35">
      <c r="A16" s="14" t="s">
        <v>81</v>
      </c>
      <c r="B16" s="14">
        <v>1</v>
      </c>
    </row>
    <row r="17" spans="1:2" x14ac:dyDescent="0.35">
      <c r="A17" s="14" t="s">
        <v>79</v>
      </c>
      <c r="B17" s="14">
        <v>10</v>
      </c>
    </row>
    <row r="18" spans="1:2" ht="26" x14ac:dyDescent="0.6">
      <c r="B18" s="15">
        <f>SUM(B1:B17)</f>
        <v>300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2348-9FD3-43EA-A823-1D0262E8E3FB}">
  <dimension ref="A1:K6"/>
  <sheetViews>
    <sheetView tabSelected="1" workbookViewId="0">
      <selection activeCell="I16" sqref="I16"/>
    </sheetView>
  </sheetViews>
  <sheetFormatPr defaultRowHeight="14.5" x14ac:dyDescent="0.35"/>
  <cols>
    <col min="1" max="1" width="19.26953125" customWidth="1"/>
    <col min="2" max="2" width="27.08984375" customWidth="1"/>
    <col min="3" max="3" width="8.1796875" customWidth="1"/>
    <col min="4" max="4" width="9.08984375" customWidth="1"/>
    <col min="5" max="5" width="9.453125" customWidth="1"/>
    <col min="6" max="6" width="6.54296875" customWidth="1"/>
    <col min="7" max="7" width="37.36328125" customWidth="1"/>
    <col min="8" max="8" width="7" customWidth="1"/>
    <col min="9" max="9" width="9.90625" customWidth="1"/>
  </cols>
  <sheetData>
    <row r="1" spans="1:11" x14ac:dyDescent="0.35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92</v>
      </c>
      <c r="H1" s="16" t="s">
        <v>88</v>
      </c>
      <c r="I1" s="16" t="s">
        <v>89</v>
      </c>
      <c r="J1" s="17" t="s">
        <v>98</v>
      </c>
      <c r="K1" s="18" t="s">
        <v>99</v>
      </c>
    </row>
    <row r="2" spans="1:11" x14ac:dyDescent="0.35">
      <c r="A2" s="14" t="s">
        <v>100</v>
      </c>
      <c r="B2" s="14" t="s">
        <v>95</v>
      </c>
      <c r="C2" s="14">
        <v>1.8</v>
      </c>
      <c r="D2" s="14">
        <v>0.9</v>
      </c>
      <c r="E2" s="14">
        <v>1.4</v>
      </c>
      <c r="F2" s="14">
        <v>1.5</v>
      </c>
      <c r="G2" s="14" t="s">
        <v>107</v>
      </c>
      <c r="H2" s="14">
        <v>0.02</v>
      </c>
      <c r="I2" s="14">
        <f>SUM(F2:H2)</f>
        <v>1.52</v>
      </c>
      <c r="J2" s="14">
        <v>5</v>
      </c>
      <c r="K2" s="14">
        <v>3</v>
      </c>
    </row>
    <row r="3" spans="1:11" x14ac:dyDescent="0.35">
      <c r="A3" s="14" t="s">
        <v>102</v>
      </c>
      <c r="B3" s="14" t="s">
        <v>96</v>
      </c>
      <c r="C3" s="14">
        <v>1.8</v>
      </c>
      <c r="D3" s="14">
        <v>1</v>
      </c>
      <c r="E3" s="14">
        <v>1.8</v>
      </c>
      <c r="F3" s="14">
        <v>1.7</v>
      </c>
      <c r="G3" s="14" t="s">
        <v>94</v>
      </c>
      <c r="H3" s="14">
        <v>0.03</v>
      </c>
      <c r="I3" s="14">
        <f>SUM(F3:H3)</f>
        <v>1.73</v>
      </c>
      <c r="J3" s="14">
        <v>4</v>
      </c>
      <c r="K3" s="14">
        <v>2</v>
      </c>
    </row>
    <row r="4" spans="1:11" x14ac:dyDescent="0.35">
      <c r="A4" s="14" t="s">
        <v>101</v>
      </c>
      <c r="B4" s="14" t="s">
        <v>91</v>
      </c>
      <c r="C4" s="14">
        <v>2.1</v>
      </c>
      <c r="D4" s="14">
        <v>1.2</v>
      </c>
      <c r="E4" s="14">
        <v>1.925</v>
      </c>
      <c r="F4" s="14">
        <v>1.8</v>
      </c>
      <c r="G4" s="14" t="s">
        <v>93</v>
      </c>
      <c r="H4" s="14">
        <v>0</v>
      </c>
      <c r="I4" s="14">
        <f>SUM(F4:H4)</f>
        <v>1.8</v>
      </c>
      <c r="J4" s="14">
        <v>3</v>
      </c>
      <c r="K4" s="14">
        <v>5</v>
      </c>
    </row>
    <row r="5" spans="1:11" x14ac:dyDescent="0.35">
      <c r="A5" s="14" t="s">
        <v>104</v>
      </c>
      <c r="B5" s="14" t="s">
        <v>97</v>
      </c>
      <c r="C5" s="14">
        <v>2.15</v>
      </c>
      <c r="D5" s="14">
        <v>1.2</v>
      </c>
      <c r="E5" s="14">
        <v>1.8</v>
      </c>
      <c r="F5" s="14">
        <v>1.8</v>
      </c>
      <c r="G5" s="14" t="s">
        <v>105</v>
      </c>
      <c r="H5" s="14">
        <v>0.05</v>
      </c>
      <c r="I5" s="14">
        <f>SUM(F5:H5)</f>
        <v>1.85</v>
      </c>
      <c r="J5" s="16">
        <v>1</v>
      </c>
      <c r="K5" s="16">
        <v>1</v>
      </c>
    </row>
    <row r="6" spans="1:11" x14ac:dyDescent="0.35">
      <c r="A6" s="14" t="s">
        <v>103</v>
      </c>
      <c r="B6" s="14" t="s">
        <v>90</v>
      </c>
      <c r="C6" s="14">
        <v>2</v>
      </c>
      <c r="D6" s="14">
        <v>1.7</v>
      </c>
      <c r="E6" s="14">
        <v>2.16</v>
      </c>
      <c r="F6" s="14">
        <v>1.8</v>
      </c>
      <c r="G6" s="14" t="s">
        <v>106</v>
      </c>
      <c r="H6" s="14">
        <v>0.05</v>
      </c>
      <c r="I6" s="14">
        <f>SUM(F6:H6)</f>
        <v>1.85</v>
      </c>
      <c r="J6" s="19">
        <v>2</v>
      </c>
      <c r="K6" s="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cloud costs</vt:lpstr>
      <vt:lpstr>comparison</vt:lpstr>
      <vt:lpstr>orch costs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Braniff</dc:creator>
  <cp:lastModifiedBy>Stephen Braniff</cp:lastModifiedBy>
  <dcterms:created xsi:type="dcterms:W3CDTF">2015-06-05T18:17:20Z</dcterms:created>
  <dcterms:modified xsi:type="dcterms:W3CDTF">2025-06-12T17:15:16Z</dcterms:modified>
</cp:coreProperties>
</file>